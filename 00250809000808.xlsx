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-Term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<sst xmlns="http://schemas.openxmlformats.org/spreadsheetml/2006/main" count="26" uniqueCount="26">
  <si>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SARASWATI VIDYA MANDIR</t>
  </si>
  <si>
    <t xml:space="preserve">Mid-Term Test Results</t>
  </si>
  <si>
    <t xml:space="preserve">Name: Suraj Tiwari    |    Roll No: 00250809000808</t>
  </si>
  <si>
    <t xml:space="preserve">SL. NO.</t>
  </si>
  <si>
    <t xml:space="preserve">NAME</t>
  </si>
  <si>
    <t xml:space="preserve">ENG</t>
  </si>
  <si>
    <t xml:space="preserve">MATH</t>
  </si>
  <si>
    <t xml:space="preserve">PHY</t>
  </si>
  <si>
    <t xml:space="preserve">CHE</t>
  </si>
  <si>
    <t xml:space="preserve">BIO</t>
  </si>
  <si>
    <t xml:space="preserve">ICT</t>
  </si>
  <si>
    <t xml:space="preserve">TOTAL</t>
  </si>
  <si>
    <t xml:space="preserve">AVERAGE</t>
  </si>
  <si>
    <t xml:space="preserve">RESULT</t>
  </si>
  <si>
    <t xml:space="preserve">Amit Sharma</t>
  </si>
  <si>
    <t xml:space="preserve">Rahul Verma</t>
  </si>
  <si>
    <t xml:space="preserve">Suresh Kumar</t>
  </si>
  <si>
    <t xml:space="preserve">Vikram Singh</t>
  </si>
  <si>
    <t xml:space="preserve">Ravi Patel</t>
  </si>
  <si>
    <t xml:space="preserve">Priya Gupta</t>
  </si>
  <si>
    <t xml:space="preserve">Neha Agarwal</t>
  </si>
  <si>
    <t xml:space="preserve">Pooja Sharma</t>
  </si>
  <si>
    <t xml:space="preserve">Anjali Verma</t>
  </si>
  <si>
    <t xml:space="preserve">Kiran Kumar</t>
  </si>
  <si>
    <t xml:space="preserve">HIGHEST MARK</t>
  </si>
  <si>
    <t xml:space="preserve">LOWEST MARK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</si>
</sst>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  <fill>
      <patternFill patternType="solid">
        <fgColor rgb="FFC9A227"/>
        <bgColor rgb="FF99CC00"/>
      </patternFill>
    </fill>
    <fill>
      <patternFill patternType="solid">
        <fgColor rgb="FFE8DAB2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E8DAB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8" min="3" style="0" width="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21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n">
        <v>1</v>
      </c>
      <c r="B6" s="5" t="s">
        <v>14</v>
      </c>
      <c r="C6" s="4" t="n">
        <v>70</v>
      </c>
      <c r="D6" s="4" t="n">
        <v>80</v>
      </c>
      <c r="E6" s="4" t="n">
        <v>95</v>
      </c>
      <c r="F6" s="4" t="n">
        <v>78</v>
      </c>
      <c r="G6" s="4" t="n">
        <v>88</v>
      </c>
      <c r="H6" s="4" t="n">
        <v>90</v>
      </c>
      <c r="I6" s="4" t="n">
        <f aca="false">SUM(C6:H6)</f>
        <v>501</v>
      </c>
      <c r="J6" s="6" t="n">
        <f aca="false">AVERAGE(C6:H6)</f>
        <v>83.5</v>
      </c>
      <c r="K6" s="4" t="str">
        <f aca="false">IF(J6&gt;=40,"Pass","Fail")</f>
        <v>Pass</v>
      </c>
    </row>
    <row r="7" customFormat="false" ht="15" hidden="false" customHeight="false" outlineLevel="0" collapsed="false">
      <c r="A7" s="7" t="n">
        <v>2</v>
      </c>
      <c r="B7" s="8" t="s">
        <v>15</v>
      </c>
      <c r="C7" s="7" t="n">
        <v>78</v>
      </c>
      <c r="D7" s="7" t="n">
        <v>48</v>
      </c>
      <c r="E7" s="7" t="n">
        <v>60</v>
      </c>
      <c r="F7" s="7" t="n">
        <v>67</v>
      </c>
      <c r="G7" s="7" t="n">
        <v>60</v>
      </c>
      <c r="H7" s="7" t="n">
        <v>79</v>
      </c>
      <c r="I7" s="7" t="n">
        <f aca="false">SUM(C7:H7)</f>
        <v>392</v>
      </c>
      <c r="J7" s="9" t="n">
        <f aca="false">AVERAGE(C7:H7)</f>
        <v>65.3333333333333</v>
      </c>
      <c r="K7" s="7" t="str">
        <f aca="false">IF(J7&gt;=40,"Pass","Fail")</f>
        <v>Pass</v>
      </c>
    </row>
    <row r="8" customFormat="false" ht="15" hidden="false" customHeight="false" outlineLevel="0" collapsed="false">
      <c r="A8" s="4" t="n">
        <v>3</v>
      </c>
      <c r="B8" s="5" t="s">
        <v>16</v>
      </c>
      <c r="C8" s="4" t="n">
        <v>80</v>
      </c>
      <c r="D8" s="4" t="n">
        <v>75</v>
      </c>
      <c r="E8" s="4" t="n">
        <v>70</v>
      </c>
      <c r="F8" s="4" t="n">
        <v>65</v>
      </c>
      <c r="G8" s="4" t="n">
        <v>90</v>
      </c>
      <c r="H8" s="4" t="n">
        <v>85</v>
      </c>
      <c r="I8" s="4" t="n">
        <f aca="false">SUM(C8:H8)</f>
        <v>465</v>
      </c>
      <c r="J8" s="6" t="n">
        <f aca="false">AVERAGE(C8:H8)</f>
        <v>77.5</v>
      </c>
      <c r="K8" s="4" t="str">
        <f aca="false">IF(J8&gt;=40,"Pass","Fail")</f>
        <v>Pass</v>
      </c>
    </row>
    <row r="9" customFormat="false" ht="15" hidden="false" customHeight="false" outlineLevel="0" collapsed="false">
      <c r="A9" s="7" t="n">
        <v>4</v>
      </c>
      <c r="B9" s="8" t="s">
        <v>17</v>
      </c>
      <c r="C9" s="7" t="n">
        <v>60</v>
      </c>
      <c r="D9" s="7" t="n">
        <v>45</v>
      </c>
      <c r="E9" s="7" t="n">
        <v>65</v>
      </c>
      <c r="F9" s="7" t="n">
        <v>76</v>
      </c>
      <c r="G9" s="7" t="n">
        <v>75</v>
      </c>
      <c r="H9" s="7" t="n">
        <v>68</v>
      </c>
      <c r="I9" s="7" t="n">
        <f aca="false">SUM(C9:H9)</f>
        <v>389</v>
      </c>
      <c r="J9" s="9" t="n">
        <f aca="false">AVERAGE(C9:H9)</f>
        <v>64.8333333333333</v>
      </c>
      <c r="K9" s="7" t="str">
        <f aca="false">IF(J9&gt;=40,"Pass","Fail")</f>
        <v>Pass</v>
      </c>
    </row>
    <row r="10" customFormat="false" ht="15" hidden="false" customHeight="false" outlineLevel="0" collapsed="false">
      <c r="A10" s="4" t="n">
        <v>5</v>
      </c>
      <c r="B10" s="5" t="s">
        <v>18</v>
      </c>
      <c r="C10" s="4" t="n">
        <v>70</v>
      </c>
      <c r="D10" s="4" t="n">
        <v>89</v>
      </c>
      <c r="E10" s="4" t="n">
        <v>69</v>
      </c>
      <c r="F10" s="4" t="n">
        <v>88</v>
      </c>
      <c r="G10" s="4" t="n">
        <v>67</v>
      </c>
      <c r="H10" s="4" t="n">
        <v>88</v>
      </c>
      <c r="I10" s="4" t="n">
        <f aca="false">SUM(C10:H10)</f>
        <v>471</v>
      </c>
      <c r="J10" s="6" t="n">
        <f aca="false">AVERAGE(C10:H10)</f>
        <v>78.5</v>
      </c>
      <c r="K10" s="4" t="str">
        <f aca="false">IF(J10&gt;=40,"Pass","Fail")</f>
        <v>Pass</v>
      </c>
    </row>
    <row r="11" customFormat="false" ht="15" hidden="false" customHeight="false" outlineLevel="0" collapsed="false">
      <c r="A11" s="7" t="n">
        <v>6</v>
      </c>
      <c r="B11" s="8" t="s">
        <v>19</v>
      </c>
      <c r="C11" s="7" t="n">
        <v>75</v>
      </c>
      <c r="D11" s="7" t="n">
        <v>75</v>
      </c>
      <c r="E11" s="7" t="n">
        <v>85</v>
      </c>
      <c r="F11" s="7" t="n">
        <v>69</v>
      </c>
      <c r="G11" s="7" t="n">
        <v>78</v>
      </c>
      <c r="H11" s="7" t="n">
        <v>80</v>
      </c>
      <c r="I11" s="7" t="n">
        <f aca="false">SUM(C11:H11)</f>
        <v>462</v>
      </c>
      <c r="J11" s="9" t="n">
        <f aca="false">AVERAGE(C11:H11)</f>
        <v>77</v>
      </c>
      <c r="K11" s="7" t="str">
        <f aca="false">IF(J11&gt;=40,"Pass","Fail")</f>
        <v>Pass</v>
      </c>
    </row>
    <row r="12" customFormat="false" ht="15" hidden="false" customHeight="false" outlineLevel="0" collapsed="false">
      <c r="A12" s="4" t="n">
        <v>7</v>
      </c>
      <c r="B12" s="5" t="s">
        <v>20</v>
      </c>
      <c r="C12" s="4" t="n">
        <v>80</v>
      </c>
      <c r="D12" s="4" t="n">
        <v>88</v>
      </c>
      <c r="E12" s="4" t="n">
        <v>20</v>
      </c>
      <c r="F12" s="4" t="n">
        <v>60</v>
      </c>
      <c r="G12" s="4" t="n">
        <v>55</v>
      </c>
      <c r="H12" s="4" t="n">
        <v>79</v>
      </c>
      <c r="I12" s="4" t="n">
        <f aca="false">SUM(C12:H12)</f>
        <v>382</v>
      </c>
      <c r="J12" s="6" t="n">
        <f aca="false">AVERAGE(C12:H12)</f>
        <v>63.6666666666667</v>
      </c>
      <c r="K12" s="4" t="str">
        <f aca="false">IF(J12&gt;=40,"Pass","Fail")</f>
        <v>Pass</v>
      </c>
    </row>
    <row r="13" customFormat="false" ht="15" hidden="false" customHeight="false" outlineLevel="0" collapsed="false">
      <c r="A13" s="7" t="n">
        <v>8</v>
      </c>
      <c r="B13" s="8" t="s">
        <v>21</v>
      </c>
      <c r="C13" s="7" t="n">
        <v>85</v>
      </c>
      <c r="D13" s="7" t="n">
        <v>78</v>
      </c>
      <c r="E13" s="7" t="n">
        <v>78</v>
      </c>
      <c r="F13" s="7" t="n">
        <v>75</v>
      </c>
      <c r="G13" s="7" t="n">
        <v>90</v>
      </c>
      <c r="H13" s="7" t="n">
        <v>85</v>
      </c>
      <c r="I13" s="7" t="n">
        <f aca="false">SUM(C13:H13)</f>
        <v>491</v>
      </c>
      <c r="J13" s="9" t="n">
        <f aca="false">AVERAGE(C13:H13)</f>
        <v>81.8333333333333</v>
      </c>
      <c r="K13" s="7" t="str">
        <f aca="false">IF(J13&gt;=40,"Pass","Fail")</f>
        <v>Pass</v>
      </c>
    </row>
    <row r="14" customFormat="false" ht="15" hidden="false" customHeight="false" outlineLevel="0" collapsed="false">
      <c r="A14" s="4" t="n">
        <v>9</v>
      </c>
      <c r="B14" s="5" t="s">
        <v>22</v>
      </c>
      <c r="C14" s="4" t="n">
        <v>85</v>
      </c>
      <c r="D14" s="4" t="n">
        <v>90</v>
      </c>
      <c r="E14" s="4" t="n">
        <v>79</v>
      </c>
      <c r="F14" s="4" t="n">
        <v>80</v>
      </c>
      <c r="G14" s="4" t="n">
        <v>78</v>
      </c>
      <c r="H14" s="4" t="n">
        <v>87</v>
      </c>
      <c r="I14" s="4" t="n">
        <f aca="false">SUM(C14:H14)</f>
        <v>499</v>
      </c>
      <c r="J14" s="6" t="n">
        <f aca="false">AVERAGE(C14:H14)</f>
        <v>83.1666666666667</v>
      </c>
      <c r="K14" s="4" t="str">
        <f aca="false">IF(J14&gt;=40,"Pass","Fail")</f>
        <v>Pass</v>
      </c>
    </row>
    <row r="15" customFormat="false" ht="15" hidden="false" customHeight="false" outlineLevel="0" collapsed="false">
      <c r="A15" s="7" t="n">
        <v>10</v>
      </c>
      <c r="B15" s="8" t="s">
        <v>23</v>
      </c>
      <c r="C15" s="7" t="n">
        <v>79</v>
      </c>
      <c r="D15" s="7" t="n">
        <v>84</v>
      </c>
      <c r="E15" s="7" t="n">
        <v>75</v>
      </c>
      <c r="F15" s="7" t="n">
        <v>60</v>
      </c>
      <c r="G15" s="7" t="n">
        <v>55</v>
      </c>
      <c r="H15" s="7" t="n">
        <v>65</v>
      </c>
      <c r="I15" s="7" t="n">
        <f aca="false">SUM(C15:H15)</f>
        <v>418</v>
      </c>
      <c r="J15" s="9" t="n">
        <f aca="false">AVERAGE(C15:H15)</f>
        <v>69.6666666666667</v>
      </c>
      <c r="K15" s="7" t="str">
        <f aca="false">IF(J15&gt;=40,"Pass","Fail")</f>
        <v>Pass</v>
      </c>
    </row>
    <row r="16" customFormat="false" ht="15" hidden="false" customHeight="false" outlineLevel="0" collapsed="false">
      <c r="A16" s="10"/>
      <c r="B16" s="11" t="s">
        <v>24</v>
      </c>
      <c r="C16" s="10" t="n">
        <f aca="false">MAX(C6:C15)</f>
        <v>85</v>
      </c>
      <c r="D16" s="10" t="n">
        <f aca="false">MAX(D6:D15)</f>
        <v>90</v>
      </c>
      <c r="E16" s="10" t="n">
        <f aca="false">MAX(E6:E15)</f>
        <v>95</v>
      </c>
      <c r="F16" s="10" t="n">
        <f aca="false">MAX(F6:F15)</f>
        <v>88</v>
      </c>
      <c r="G16" s="10" t="n">
        <f aca="false">MAX(G6:G15)</f>
        <v>90</v>
      </c>
      <c r="H16" s="10" t="n">
        <f aca="false">MAX(H6:H15)</f>
        <v>90</v>
      </c>
      <c r="I16" s="10"/>
      <c r="J16" s="10"/>
      <c r="K16" s="10"/>
    </row>
    <row r="17" customFormat="false" ht="15" hidden="false" customHeight="false" outlineLevel="0" collapsed="false">
      <c r="A17" s="12"/>
      <c r="B17" s="13" t="s">
        <v>25</v>
      </c>
      <c r="C17" s="12" t="n">
        <f aca="false">MIN(C6:C15)</f>
        <v>60</v>
      </c>
      <c r="D17" s="12" t="n">
        <f aca="false">MIN(D6:D15)</f>
        <v>45</v>
      </c>
      <c r="E17" s="12" t="n">
        <f aca="false">MIN(E6:E15)</f>
        <v>20</v>
      </c>
      <c r="F17" s="12" t="n">
        <f aca="false">MIN(F6:F15)</f>
        <v>60</v>
      </c>
      <c r="G17" s="12" t="n">
        <f aca="false">MIN(G6:G15)</f>
        <v>55</v>
      </c>
      <c r="H17" s="12" t="n">
        <f aca="false">MIN(H6:H15)</f>
        <v>65</v>
      </c>
      <c r="I17" s="12"/>
      <c r="J17" s="12"/>
      <c r="K17" s="12"/>
    </row>
  </sheetData>
  <mergeCells count="3">
    <mergeCell ref="A1:K1"/>
    <mergeCell ref="A2:K2"/>
    <mergeCell ref="A3:K3"/>
  </mergeCells>
  <conditionalFormatting sqref="K6:K1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2026-07-06T12:03:34Z</dcterms:created>
  <dc:creator>openpyxl</dc:creator>
  <dc:description/>
  <dc:language>en-US</dc:language>
  <cp:lastModifiedBy/>
  <dcterms:modified xsi:type="dcterms:W3CDTF">2026-07-06T12:03:34Z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